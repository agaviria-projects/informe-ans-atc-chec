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hector.gaviria\Desktop\Informe_ANS_ATC_CHEC\config\"/>
    </mc:Choice>
  </mc:AlternateContent>
  <xr:revisionPtr revIDLastSave="0" documentId="13_ncr:1_{394F4798-5C0E-4EE4-8A3C-593B0DDFDF42}" xr6:coauthVersionLast="47" xr6:coauthVersionMax="47" xr10:uidLastSave="{00000000-0000-0000-0000-000000000000}"/>
  <bookViews>
    <workbookView xWindow="-120" yWindow="-120" windowWidth="20730" windowHeight="11040" firstSheet="1" activeTab="1" xr2:uid="{2B542373-C365-41B5-A008-86F351A2B29E}"/>
  </bookViews>
  <sheets>
    <sheet name="Hoja2" sheetId="2" state="hidden" r:id="rId1"/>
    <sheet name="REGLAS_DE_NEGOCIO" sheetId="4" r:id="rId2"/>
    <sheet name="PARAMETROS" sheetId="5" r:id="rId3"/>
    <sheet name="FESTIVOS_ADICIONALES" sheetId="6" r:id="rId4"/>
    <sheet name="REGLAS_PRIORIDAD" sheetId="7" r:id="rId5"/>
    <sheet name="EJECUCION " sheetId="1" r:id="rId6"/>
    <sheet name="MUNICIPIOS" sheetId="3" r:id="rId7"/>
  </sheets>
  <definedNames>
    <definedName name="_xlnm._FilterDatabase" localSheetId="5" hidden="1">'EJECUCION '!$A$19:$K$19</definedName>
    <definedName name="_xlnm._FilterDatabase" localSheetId="6" hidden="1">MUNICIPIOS!$B$1:$C$22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1" l="1"/>
  <c r="J30" i="1"/>
  <c r="J29" i="1"/>
  <c r="J28" i="1"/>
  <c r="J25" i="1"/>
  <c r="J26" i="1"/>
  <c r="J27" i="1"/>
  <c r="J24" i="1"/>
  <c r="J21" i="1"/>
  <c r="O3" i="1"/>
  <c r="O2" i="1" l="1"/>
</calcChain>
</file>

<file path=xl/sharedStrings.xml><?xml version="1.0" encoding="utf-8"?>
<sst xmlns="http://schemas.openxmlformats.org/spreadsheetml/2006/main" count="296" uniqueCount="231">
  <si>
    <t xml:space="preserve">MUNICIPIOS </t>
  </si>
  <si>
    <t>GRUPO</t>
  </si>
  <si>
    <t>Los demás municipios y toda la zona rural del área de cobertura</t>
  </si>
  <si>
    <t>Subgrupo</t>
  </si>
  <si>
    <t xml:space="preserve"> 1: Actividades de conexión del servicio, legalización y revisiones para todos los niveles de tensión (actividades en medida directa, semidirecta e indirecta) y remodelación de instalaciones internas</t>
  </si>
  <si>
    <t xml:space="preserve"> 2: Visita de inspección de factibilidad y punto de conexión</t>
  </si>
  <si>
    <t xml:space="preserve"> 3: Actividades de habilitación de vivienda sin construcción de redes</t>
  </si>
  <si>
    <t xml:space="preserve"> 4: Actividades de habilitación de vivienda con construcción de redes </t>
  </si>
  <si>
    <t>Descripcion</t>
  </si>
  <si>
    <t>DESCRIPCION SUBGRUPO</t>
  </si>
  <si>
    <t>Visita de inspección de factibilidad y punto de conexión</t>
  </si>
  <si>
    <t>Actividades de habilitación de vivienda con construcción de redes</t>
  </si>
  <si>
    <t>Aplica a todos los municipios Habilitación de vivienda + Construcción de la red</t>
  </si>
  <si>
    <t xml:space="preserve">TOTAL ORDENES </t>
  </si>
  <si>
    <t xml:space="preserve">INCUMPLIDAS </t>
  </si>
  <si>
    <t>SANCION</t>
  </si>
  <si>
    <t>CUMPLIMIENTO</t>
  </si>
  <si>
    <t>TIPO</t>
  </si>
  <si>
    <t>CONDICION</t>
  </si>
  <si>
    <t>SUB 1-2</t>
  </si>
  <si>
    <t>&gt; 1%</t>
  </si>
  <si>
    <t>&lt; 1%</t>
  </si>
  <si>
    <t>INCUMPLIMIENTO HALLAZGO</t>
  </si>
  <si>
    <t>DESCRIPCION</t>
  </si>
  <si>
    <t>ITEM</t>
  </si>
  <si>
    <t>Actividades que no se ejecuten  por causa imputable al contratista</t>
  </si>
  <si>
    <t>Actividades realizadas fuera de  plazo regulatorio</t>
  </si>
  <si>
    <t>Actividades y/o servicios que se ejecuten o atiendan por fuera de  los tiempos establecidos por  CHEC o solicitados por la gestoría técnica – administrativa y que la causa sea imputable al  contratista.</t>
  </si>
  <si>
    <t>Calidad de la información</t>
  </si>
  <si>
    <t>Todo error, enmendadura o falta  de información que se presente  en el diligenciamiento de  formatos, actas, cobros,  digitación y/o cualquier falla que se presente en cuanto a la  calidad de los reportes a CHEC o  al usuario.</t>
  </si>
  <si>
    <t>Calidad de la ejecución</t>
  </si>
  <si>
    <t>Todo error que se presente en la ejecución de los trabajos en  campo que no cumplan con los procedimientos establecidos por  CHEC en cualquiera de sus  procesos y/o normas técnicas</t>
  </si>
  <si>
    <t>OPERATIVO</t>
  </si>
  <si>
    <t xml:space="preserve">VALOR ACTIVIDAD </t>
  </si>
  <si>
    <t>Actos de indisciplina</t>
  </si>
  <si>
    <t>Estado o falta de herramienta o equipos</t>
  </si>
  <si>
    <t>Manual de imagen</t>
  </si>
  <si>
    <t>SST</t>
  </si>
  <si>
    <t>Material suministrado</t>
  </si>
  <si>
    <t>Medios de transporte y comunicación</t>
  </si>
  <si>
    <t>Reportes y/o Facturación de Material</t>
  </si>
  <si>
    <t>Actividades de gestoría técnica - administrativa</t>
  </si>
  <si>
    <t>ADMIN</t>
  </si>
  <si>
    <t>AREA</t>
  </si>
  <si>
    <t>OPERATIVA</t>
  </si>
  <si>
    <t>TODAS</t>
  </si>
  <si>
    <t>SST/OPERATIVA</t>
  </si>
  <si>
    <t>ALMACEN/OPERATIVA</t>
  </si>
  <si>
    <t xml:space="preserve">TRANSPORTE OPERATIVA </t>
  </si>
  <si>
    <t>SANCION C/U</t>
  </si>
  <si>
    <t xml:space="preserve">3 veces el valor de la actividad </t>
  </si>
  <si>
    <t xml:space="preserve">VALOR MINIMO </t>
  </si>
  <si>
    <t>CANTIDAD SALARIOS MINIMOS</t>
  </si>
  <si>
    <t xml:space="preserve">2 veces el valor de la actividad </t>
  </si>
  <si>
    <t>Cuando se detecte por parte de CHEC actos de  indisciplina en los empleados del contratista  durante la realización de labores y trabajos para  CHEC en terreno, tales como: Laborar bajo efectos  de alcohol o sustancias psicoactivas, maltrato  verbal o físico hacia al cliente o compañeros, fumar  durante la ejecución de una labor, etc.</t>
  </si>
  <si>
    <t>Cuando se encuentre un grupo de trabajo con las  herramientas en mal estado, cuando le dé mal uso  a ellas, cuando trabaje con pinzas y equipos  descalibradas o cuando le falten las herramientas  requeridas</t>
  </si>
  <si>
    <t>Cuando se detecte que un trabajador está  laborando sin la dotación respectiva exigida por 
CHEC o usándola inadecuadamente o sin el carné o  el porte de éste en forma no visible</t>
  </si>
  <si>
    <t>Cuando un grupo de trabajo no utilice los  elementos de seguridad adecuadamente o los 
elementos de señalización como conos y cinta de  demarcación, etc., o se infrinjan las normas de  seguridad y salud en el trabajo.</t>
  </si>
  <si>
    <t>Por instalar materiales suministrados por el  contratista que se encuentren usados, 
defectuosos, sin certificado de producto RETIE o  sean de mala calidad</t>
  </si>
  <si>
    <t>Se aplicará el ANS cuando se encuentren vehículos  en mal estado, sin los elementos de seguridad, sin  documentación para movilizarse, sin equipo de  carretera, sin portar el logo que lo identifique  como contratista de CHEC. De igual forma cuando  se detecte un grupo sin vehículo. También se  aplicará el ANS por el incumplimiento del  contratista a las fechas pactadas para la entrega y  despachos de material en el almacén de CHEC. De igual forma donde se encuentre un grupo sin  medios de comunicación solicitados.</t>
  </si>
  <si>
    <t>Cuando la cantidad de materiales instalados por el  contratista sea menor a la cantidad de materiales entregados por CHEC y el saldo no lo tenga  disponible con las mismas características, CHEC  podrá hacer una deducción cada vez que se  detecte el faltante, ya sea al realizar inventarios  parciales o finales. Este incumplimiento no exime  al contratista de responder por los materiales que  se extravíen por causas imputables a éste.</t>
  </si>
  <si>
    <t>Se aplicará ANS para aquellos casos en que se  impida, dificulte, obstaculice y/o se demore sin  razón alguna cualquier información solicitada por  la gestoría técnica – administrativa interna y/o  externa designada por CHEC y no se atiendan las  directrices dadas por ésta. Así mismo cuando no se  corrijan las no conformidades detectadas y de las  cuales se ordene su corrección</t>
  </si>
  <si>
    <t>SUB 3-4</t>
  </si>
  <si>
    <t xml:space="preserve"> se aplicará descuento por un valor de 3 veces el valor de la  actividad en cualquier incumplimiento de los tiempos</t>
  </si>
  <si>
    <t>VALOR SMLV</t>
  </si>
  <si>
    <t>Actividades programadas no  realizadas</t>
  </si>
  <si>
    <t>Actividades de conexión del servicio, legalización y vista posterior</t>
  </si>
  <si>
    <t>Zonas urbanas de Manizales, Villamaría,  Chinchiná, Dosquebradas, Santa Rosa,  Riosucio, La Dorada, La Virginia</t>
  </si>
  <si>
    <t>TIEMPOS DE  ATENCION (DIAS  PROMEDIO HABILES)</t>
  </si>
  <si>
    <t>TIEMPOS DE 
ATENCION (DIAS 
HABILES)</t>
  </si>
  <si>
    <r>
      <t xml:space="preserve">otras revisiones : 
</t>
    </r>
    <r>
      <rPr>
        <b/>
        <sz val="11"/>
        <color theme="1"/>
        <rFont val="Aptos Narrow"/>
        <family val="2"/>
        <scheme val="minor"/>
      </rPr>
      <t>CHEC podrá entregar al contratista cualquier revisión de instalaciones que estén dentro del alcance de la presente solicitud. Dichas actividades serán coordinadas previamente con el contratista y pagadas al valor unitario ofertado por la actividad de revisión</t>
    </r>
    <r>
      <rPr>
        <sz val="11"/>
        <color theme="1"/>
        <rFont val="Aptos Narrow"/>
        <family val="2"/>
        <scheme val="minor"/>
      </rPr>
      <t xml:space="preserve">.
</t>
    </r>
    <r>
      <rPr>
        <b/>
        <sz val="11"/>
        <color theme="1"/>
        <rFont val="Aptos Narrow"/>
        <family val="2"/>
        <scheme val="minor"/>
      </rPr>
      <t>verificaciones de HV</t>
    </r>
  </si>
  <si>
    <t>Actividades de habilitación de vivienda sin construcción de redes
Verificación de HV + Habilitación de vivienda (se calcula un tiempo 
unificado para las dos actividades)</t>
  </si>
  <si>
    <t xml:space="preserve">Aplica a todos los municipios Habilitación de vivienda </t>
  </si>
  <si>
    <t>Zonas urbanas de Manizales, Villamaría,  Chinchiná, Dosquebradas, Santa Rosa, Riosucio, La Dorada, La Virginia</t>
  </si>
  <si>
    <t>Actividades de conexión de servicio con construcción de redes</t>
  </si>
  <si>
    <t>Todos los municipios y toda la zona rural  del área de cobertura</t>
  </si>
  <si>
    <t>Actividades de servicios temporales</t>
  </si>
  <si>
    <t>Demas área de cobertura y zona rural</t>
  </si>
  <si>
    <t>Actividades Factibilidades y desmonte Infraestructura telecomunicaciones</t>
  </si>
  <si>
    <t>ITEM DE COBRO</t>
  </si>
  <si>
    <t>Legalización del servicio urbano/rural
Conexión del servicio (Medidor) urbano/Rural
Conexión masiva del servicio (tablero a partir de 5 medidas) urbano/rural
Conexion del servicio (medidor y/o acometida y/o SPT y/o Caja) urbano/rural
Conexión medida bicuerpo urbano/rural
Revisión urbano/rural
Revisión de AGPE urbana/rural</t>
  </si>
  <si>
    <t>Uso de infraestructura de presetadores de servicios de telecomunicaciones
Atención de factibilidades de uso de infraestructura
Verificación de infraestructura nueva instalada o desmontes de infraestructura</t>
  </si>
  <si>
    <t xml:space="preserve">Habilitación de vivienda urbano/rural incluye todo lo que es por suministo </t>
  </si>
  <si>
    <t>Por OT o cuenta de trabajo redes 
los cobros son todos los relacionados en el modulo de construccion de redes</t>
  </si>
  <si>
    <t>Verificación HV urbano/rural
Verificación y/o instalación de telemedida</t>
  </si>
  <si>
    <t xml:space="preserve">Conciliando la cita </t>
  </si>
  <si>
    <t>Bajo programacion</t>
  </si>
  <si>
    <t>Programado</t>
  </si>
  <si>
    <t>Inmediato</t>
  </si>
  <si>
    <t>Solicitud de conexión /Visita posterior</t>
  </si>
  <si>
    <t>Solicitud de conexión /Conexión individual urbano</t>
  </si>
  <si>
    <t xml:space="preserve">Solicitud de conexión /Conexión individual rural </t>
  </si>
  <si>
    <t>Interventoría/Interventoría de conexión</t>
  </si>
  <si>
    <t>Solicitud de conexión /Provisional urbano</t>
  </si>
  <si>
    <t>Servicio temporal urbano/Servicio temporal urbano</t>
  </si>
  <si>
    <t>Cambio de provisional a definitivo/Cambio de provisional a definitivo</t>
  </si>
  <si>
    <t>Solicitud de conexión /Provisional rural</t>
  </si>
  <si>
    <t>Solicitud de conexión /Habilitación de Vivienda integral urbano</t>
  </si>
  <si>
    <t>Interventoría/Interventoría de proyectos</t>
  </si>
  <si>
    <t>Factibilidad del servicio/Cuenta nueva</t>
  </si>
  <si>
    <t>Habilitacion de vivienda/Verificación de HV rural</t>
  </si>
  <si>
    <t>Cambio de sistema/Monofásico a bifásico</t>
  </si>
  <si>
    <t>Redes/Red secundaria</t>
  </si>
  <si>
    <t>Factibilidad del servicio/Ampliación</t>
  </si>
  <si>
    <t>Solicitud de conexión /Legalización de particulares rural</t>
  </si>
  <si>
    <t>Cancelacion de provisional/Cancelación de provisional</t>
  </si>
  <si>
    <t>Cambio de sistema/Bifásico a trifásico</t>
  </si>
  <si>
    <t>Solicitud de conexión /Independización de servicio</t>
  </si>
  <si>
    <t>Reformas/Remodelacion predio y reubicación de medida</t>
  </si>
  <si>
    <t>Cambio de sistema/Monofásico a trifásico</t>
  </si>
  <si>
    <t>visita</t>
  </si>
  <si>
    <t>revision</t>
  </si>
  <si>
    <t>inmediato</t>
  </si>
  <si>
    <t>hv</t>
  </si>
  <si>
    <t>factibilidad</t>
  </si>
  <si>
    <t xml:space="preserve">visita </t>
  </si>
  <si>
    <t>replanteo</t>
  </si>
  <si>
    <t>descripcion</t>
  </si>
  <si>
    <t>tipo</t>
  </si>
  <si>
    <t>conexión</t>
  </si>
  <si>
    <t>Legalización</t>
  </si>
  <si>
    <t xml:space="preserve">dias </t>
  </si>
  <si>
    <t>Manizales</t>
  </si>
  <si>
    <t xml:space="preserve"> Villamaría</t>
  </si>
  <si>
    <t xml:space="preserve">  Chinchiná</t>
  </si>
  <si>
    <t xml:space="preserve"> Dosquebradas</t>
  </si>
  <si>
    <t xml:space="preserve"> Santa Rosa</t>
  </si>
  <si>
    <t xml:space="preserve">  Riosucio</t>
  </si>
  <si>
    <t xml:space="preserve"> La Dorada</t>
  </si>
  <si>
    <t xml:space="preserve"> La Virginia</t>
  </si>
  <si>
    <t>municipio</t>
  </si>
  <si>
    <t>dias</t>
  </si>
  <si>
    <t xml:space="preserve">toda la demas zona de influencia son 7 dias </t>
  </si>
  <si>
    <t>Municipio</t>
  </si>
  <si>
    <t>Chinchina</t>
  </si>
  <si>
    <t>Dosquebradas</t>
  </si>
  <si>
    <t>SANTA ROSA DE CABAL</t>
  </si>
  <si>
    <t>Riosucio</t>
  </si>
  <si>
    <t>La Dorada</t>
  </si>
  <si>
    <t>La Virginia</t>
  </si>
  <si>
    <t>Dias</t>
  </si>
  <si>
    <t>PARAMETRO</t>
  </si>
  <si>
    <t>VALOR</t>
  </si>
  <si>
    <t>Cantidad de días restantes para clasificar un pedido como ALERTA</t>
  </si>
  <si>
    <t>EXCLUIR_SABADOS</t>
  </si>
  <si>
    <t>SI</t>
  </si>
  <si>
    <t>Excluir sábados del cálculo ANS</t>
  </si>
  <si>
    <t>EXCLUIR_DOMINGOS</t>
  </si>
  <si>
    <t>Excluir domingos del cálculo ANS</t>
  </si>
  <si>
    <t>EXCLUIR_FESTIVOS_COLOMBIA</t>
  </si>
  <si>
    <t>Excluir festivos oficiales de Colombia</t>
  </si>
  <si>
    <t>EXCLUIR_FESTIVOS_ADICIONALES</t>
  </si>
  <si>
    <t>Excluir fechas registradas en FESTIVOS_ADICIONALES</t>
  </si>
  <si>
    <t>Norcasia</t>
  </si>
  <si>
    <t>Neira</t>
  </si>
  <si>
    <t>Viterbo</t>
  </si>
  <si>
    <t>Samana</t>
  </si>
  <si>
    <t>Pensilvania</t>
  </si>
  <si>
    <t>Palestina</t>
  </si>
  <si>
    <t>Salamina</t>
  </si>
  <si>
    <t>Aguadas</t>
  </si>
  <si>
    <t>Aranzazu</t>
  </si>
  <si>
    <t>La Celia</t>
  </si>
  <si>
    <t>Belen de Umbria</t>
  </si>
  <si>
    <t>Marsella</t>
  </si>
  <si>
    <t>Anserma</t>
  </si>
  <si>
    <t>Supia</t>
  </si>
  <si>
    <t>Mistrato</t>
  </si>
  <si>
    <t>Marmato</t>
  </si>
  <si>
    <t>Risaralda</t>
  </si>
  <si>
    <t>Filadelfia</t>
  </si>
  <si>
    <t>Quinchia</t>
  </si>
  <si>
    <t>Guatica</t>
  </si>
  <si>
    <t>Pueblo Rico</t>
  </si>
  <si>
    <t>San Jose</t>
  </si>
  <si>
    <t>La Merced</t>
  </si>
  <si>
    <t>FECHA</t>
  </si>
  <si>
    <t>ACTIVO</t>
  </si>
  <si>
    <t>DIAS_INICIO_ALERTA</t>
  </si>
  <si>
    <t>Una vez la fecha límite ya fue superada (días restantes negativos), el pedido se clasifica como VENCIDO.</t>
  </si>
  <si>
    <t>Si aún le restan más de 2 días, el pedido se considera A TIEMPO.</t>
  </si>
  <si>
    <t>DIAS_INICIO_ALERTA = 2 significa que un pedido pasa al estado ALERTA cuando le restan 2 días o o menos para vencer.</t>
  </si>
  <si>
    <t>ESTADOS</t>
  </si>
  <si>
    <t xml:space="preserve">factibilidad </t>
  </si>
  <si>
    <t>HV</t>
  </si>
  <si>
    <t>PALABRA_CLAVE</t>
  </si>
  <si>
    <t>DIAS</t>
  </si>
  <si>
    <t>FACTIBILIDAD</t>
  </si>
  <si>
    <t>INMEDIATO</t>
  </si>
  <si>
    <t>INMEDIATO: Servicio temporal urbano/Servicio temporal urbano</t>
  </si>
  <si>
    <t>HV:Solicitud de conexión /Habilitación de Vivienda integral urbano</t>
  </si>
  <si>
    <t>FACTIBILIDAD:Factibilidad del servicio/Cuenta nueva</t>
  </si>
  <si>
    <t>COLORES</t>
  </si>
  <si>
    <t>ALERTA</t>
  </si>
  <si>
    <t>A TIEMPO</t>
  </si>
  <si>
    <t>VENCIDO</t>
  </si>
  <si>
    <t>Victoria</t>
  </si>
  <si>
    <t>Pacora</t>
  </si>
  <si>
    <t>Balboa</t>
  </si>
  <si>
    <t>Santuario</t>
  </si>
  <si>
    <t>Apia</t>
  </si>
  <si>
    <t>Arauca</t>
  </si>
  <si>
    <t>Arboleda</t>
  </si>
  <si>
    <t>Arma</t>
  </si>
  <si>
    <t>Belalcazar</t>
  </si>
  <si>
    <t>Berlín</t>
  </si>
  <si>
    <t>Bolivia</t>
  </si>
  <si>
    <t>Buenavista</t>
  </si>
  <si>
    <t>Castilla</t>
  </si>
  <si>
    <t>Pereira</t>
  </si>
  <si>
    <t>Florencia</t>
  </si>
  <si>
    <t>Herveo</t>
  </si>
  <si>
    <t>Irra</t>
  </si>
  <si>
    <t>Isaza</t>
  </si>
  <si>
    <t>Manzanares</t>
  </si>
  <si>
    <t>Mariquita</t>
  </si>
  <si>
    <t>Marquetalia</t>
  </si>
  <si>
    <t>Marulanda</t>
  </si>
  <si>
    <t>Montebonito</t>
  </si>
  <si>
    <t>Pueblo Nuevo</t>
  </si>
  <si>
    <t>Puerto Venus</t>
  </si>
  <si>
    <t>Samaria</t>
  </si>
  <si>
    <t>San Bartolomé</t>
  </si>
  <si>
    <t>San Clemente</t>
  </si>
  <si>
    <t>San Daniel</t>
  </si>
  <si>
    <t>San Diego</t>
  </si>
  <si>
    <t>San Félix</t>
  </si>
  <si>
    <t>Santa Cecilia</t>
  </si>
  <si>
    <t>Villa Claret</t>
  </si>
  <si>
    <t>Villamaria</t>
  </si>
  <si>
    <t>Tado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</si>
</sst>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 #,##0.00_-;\-&quot;$&quot;\ * #,##0.00_-;_-&quot;$&quot;\ * &quot;-&quot;??_-;_-@_-"/>
    <numFmt numFmtId="43" formatCode="_-* #,##0.00_-;\-* #,##0.00_-;_-* &quot;-&quot;??_-;_-@_-"/>
    <numFmt numFmtId="164" formatCode="_-&quot;$&quot;\ * #,##0_-;\-&quot;$&quot;\ * #,##0_-;_-&quot;$&quot;\ * &quot;-&quot;??_-;_-@_-"/>
  </numFmts>
  <fonts count="8"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b/>
      <sz val="11"/>
      <color rgb="FFFFFFFF"/>
      <name val="Calibri"/>
      <family val="2"/>
    </font>
    <font>
      <sz val="11"/>
      <color theme="1"/>
      <name val="Calibri"/>
      <family val="2"/>
    </font>
    <font>
      <b/>
      <sz val="16"/>
      <color theme="1"/>
      <name val="Aptos Narrow"/>
      <family val="2"/>
      <scheme val="minor"/>
    </font>
    <font>
      <sz val="10"/>
      <color theme="1"/>
      <name val="Arial"/>
      <family val="2"/>
    </font>
  </fonts>
  <fills count="10">
    <fill>
      <patternFill patternType="none"/>
    </fill>
    <fill>
      <patternFill patternType="gray125"/>
    </fill>
    <fill>
      <patternFill patternType="solid">
        <fgColor theme="1" tint="0.499984740745262"/>
        <bgColor indexed="64"/>
      </patternFill>
    </fill>
    <fill>
      <patternFill patternType="solid">
        <fgColor rgb="FFFFFF00"/>
        <bgColor indexed="64"/>
      </patternFill>
    </fill>
    <fill>
      <patternFill patternType="solid">
        <fgColor rgb="FFFF0000"/>
        <bgColor indexed="64"/>
      </patternFill>
    </fill>
    <fill>
      <patternFill patternType="solid">
        <fgColor rgb="FF00B0F0"/>
        <bgColor indexed="64"/>
      </patternFill>
    </fill>
    <fill>
      <patternFill patternType="solid">
        <fgColor rgb="FF17A589"/>
      </patternFill>
    </fill>
    <fill>
      <patternFill patternType="solid">
        <fgColor rgb="FF92D050"/>
        <bgColor indexed="64"/>
      </patternFill>
    </fill>
    <fill>
      <patternFill patternType="solid">
        <fgColor theme="5"/>
        <bgColor indexed="64"/>
      </patternFill>
    </fill>
    <fill>
      <patternFill patternType="solid">
        <fgColor theme="0" tint="-0.249977111117893"/>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s>
  <cellStyleXfs count="3">
    <xf numFmtId="0" fontId="0" fillId="0" borderId="0"/>
    <xf numFmtId="43" fontId="1" fillId="0" borderId="0" applyFont="0" applyFill="0" applyBorder="0" applyAlignment="0" applyProtection="0"/>
    <xf numFmtId="44" fontId="1" fillId="0" borderId="0" applyFont="0" applyFill="0" applyBorder="0" applyAlignment="0" applyProtection="0"/>
  </cellStyleXfs>
  <cellXfs count="49">
    <xf numFmtId="0" fontId="0" fillId="0" borderId="0" xfId="0"/>
    <xf numFmtId="0" fontId="0" fillId="0" borderId="0" xfId="0" applyAlignment="1">
      <alignment wrapText="1"/>
    </xf>
    <xf numFmtId="0" fontId="0" fillId="0" borderId="0" xfId="0" applyAlignment="1">
      <alignment horizontal="center" vertical="center"/>
    </xf>
    <xf numFmtId="0" fontId="0" fillId="0" borderId="1" xfId="0" applyBorder="1"/>
    <xf numFmtId="0" fontId="0" fillId="0" borderId="1" xfId="0" applyBorder="1" applyAlignment="1">
      <alignment horizontal="center" vertical="center"/>
    </xf>
    <xf numFmtId="0" fontId="0" fillId="0" borderId="1" xfId="0" applyBorder="1" applyAlignment="1">
      <alignment wrapText="1"/>
    </xf>
    <xf numFmtId="0" fontId="0" fillId="0" borderId="1" xfId="0" applyBorder="1" applyAlignment="1">
      <alignment horizontal="left" vertical="center" wrapText="1"/>
    </xf>
    <xf numFmtId="0" fontId="0" fillId="0" borderId="1" xfId="0" applyBorder="1" applyAlignment="1">
      <alignment vertical="center" wrapText="1"/>
    </xf>
    <xf numFmtId="16" fontId="0" fillId="0" borderId="1" xfId="1" applyNumberFormat="1" applyFont="1" applyBorder="1" applyAlignment="1">
      <alignment horizontal="center" vertical="center"/>
    </xf>
    <xf numFmtId="44" fontId="0" fillId="0" borderId="1" xfId="2" applyFont="1" applyBorder="1" applyAlignment="1">
      <alignment vertical="center"/>
    </xf>
    <xf numFmtId="0" fontId="0" fillId="0" borderId="1" xfId="0" applyBorder="1" applyAlignment="1">
      <alignment horizontal="center" vertical="center" wrapText="1"/>
    </xf>
    <xf numFmtId="0" fontId="0" fillId="0" borderId="1" xfId="0" applyBorder="1" applyAlignment="1">
      <alignment horizontal="left" vertical="center"/>
    </xf>
    <xf numFmtId="164" fontId="0" fillId="0" borderId="0" xfId="2" applyNumberFormat="1" applyFont="1"/>
    <xf numFmtId="164" fontId="0" fillId="0" borderId="1" xfId="0" applyNumberFormat="1" applyBorder="1" applyAlignment="1">
      <alignment horizontal="center" vertical="center"/>
    </xf>
    <xf numFmtId="0" fontId="0" fillId="0" borderId="0" xfId="0" applyAlignment="1">
      <alignment vertical="center"/>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0" fillId="0" borderId="0" xfId="0" applyAlignment="1">
      <alignment horizontal="left" vertical="center" wrapText="1"/>
    </xf>
    <xf numFmtId="0" fontId="2" fillId="0" borderId="2" xfId="0" applyFont="1" applyBorder="1" applyAlignment="1">
      <alignment horizontal="center" vertical="center"/>
    </xf>
    <xf numFmtId="0" fontId="0" fillId="0" borderId="2" xfId="0" applyBorder="1" applyAlignment="1">
      <alignment horizontal="center" vertical="center"/>
    </xf>
    <xf numFmtId="0" fontId="2" fillId="2" borderId="1" xfId="0" applyFont="1" applyFill="1" applyBorder="1" applyAlignment="1">
      <alignment vertical="center"/>
    </xf>
    <xf numFmtId="0" fontId="2" fillId="2" borderId="1" xfId="0" applyFont="1" applyFill="1" applyBorder="1" applyAlignment="1">
      <alignment vertical="center" wrapText="1"/>
    </xf>
    <xf numFmtId="0" fontId="0" fillId="0" borderId="0" xfId="0" applyAlignment="1">
      <alignment horizontal="center"/>
    </xf>
    <xf numFmtId="0" fontId="0" fillId="0" borderId="1" xfId="0" applyBorder="1" applyAlignment="1">
      <alignment vertical="center"/>
    </xf>
    <xf numFmtId="0" fontId="0" fillId="3" borderId="1" xfId="0" applyFill="1" applyBorder="1" applyAlignment="1">
      <alignment horizontal="center" vertical="center"/>
    </xf>
    <xf numFmtId="0" fontId="0" fillId="0" borderId="0" xfId="0" applyAlignment="1">
      <alignment horizontal="left"/>
    </xf>
    <xf numFmtId="0" fontId="0" fillId="0" borderId="5" xfId="0" applyBorder="1" applyAlignment="1">
      <alignment horizontal="center"/>
    </xf>
    <xf numFmtId="0" fontId="0" fillId="0" borderId="6" xfId="0" applyBorder="1" applyAlignment="1">
      <alignment horizontal="center"/>
    </xf>
    <xf numFmtId="0" fontId="0" fillId="0" borderId="4" xfId="0" applyBorder="1"/>
    <xf numFmtId="0" fontId="3" fillId="0" borderId="0" xfId="0" applyFont="1" applyAlignment="1">
      <alignment horizontal="center" vertical="center" wrapText="1"/>
    </xf>
    <xf numFmtId="0" fontId="0" fillId="0" borderId="0" xfId="0" applyAlignment="1">
      <alignment vertical="center" wrapText="1"/>
    </xf>
    <xf numFmtId="0" fontId="0" fillId="0" borderId="3" xfId="0" applyBorder="1" applyAlignment="1">
      <alignment vertical="center"/>
    </xf>
    <xf numFmtId="0" fontId="0" fillId="0" borderId="7" xfId="0" applyBorder="1" applyAlignment="1">
      <alignment vertical="center"/>
    </xf>
    <xf numFmtId="0" fontId="0" fillId="0" borderId="8" xfId="0" applyBorder="1"/>
    <xf numFmtId="14" fontId="0" fillId="0" borderId="0" xfId="0" applyNumberFormat="1"/>
    <xf numFmtId="0" fontId="0" fillId="3" borderId="0" xfId="0" applyFill="1" applyAlignment="1">
      <alignment horizontal="left"/>
    </xf>
    <xf numFmtId="0" fontId="0" fillId="3" borderId="0" xfId="0" applyFill="1"/>
    <xf numFmtId="0" fontId="6" fillId="9" borderId="1" xfId="0" applyFont="1" applyFill="1" applyBorder="1"/>
    <xf numFmtId="0" fontId="4" fillId="6" borderId="1" xfId="0" applyFont="1" applyFill="1" applyBorder="1" applyAlignment="1">
      <alignment horizontal="center" vertical="center"/>
    </xf>
    <xf numFmtId="0" fontId="3" fillId="3" borderId="1" xfId="0" applyFont="1" applyFill="1" applyBorder="1"/>
    <xf numFmtId="0" fontId="3" fillId="7" borderId="1" xfId="0" applyFont="1" applyFill="1" applyBorder="1"/>
    <xf numFmtId="0" fontId="3" fillId="4" borderId="1" xfId="0" applyFont="1" applyFill="1" applyBorder="1"/>
    <xf numFmtId="0" fontId="3" fillId="5" borderId="1" xfId="0" applyFont="1" applyFill="1" applyBorder="1"/>
    <xf numFmtId="0" fontId="3" fillId="8" borderId="1" xfId="0" applyFont="1" applyFill="1" applyBorder="1"/>
    <xf numFmtId="0" fontId="7" fillId="0" borderId="3" xfId="0" applyFont="1" applyBorder="1" applyAlignment="1">
      <alignment vertical="center"/>
    </xf>
    <xf numFmtId="0" fontId="7" fillId="0" borderId="7" xfId="0" applyFont="1" applyBorder="1" applyAlignment="1">
      <alignment vertical="center"/>
    </xf>
    <xf numFmtId="0" fontId="5" fillId="0" borderId="1" xfId="0" applyFont="1" applyBorder="1" applyAlignment="1">
      <alignment horizontal="left" vertical="center"/>
    </xf>
    <xf numFmtId="0" fontId="6" fillId="9" borderId="1" xfId="0" applyFont="1" applyFill="1" applyBorder="1" applyAlignment="1">
      <alignment horizontal="center"/>
    </xf>
    <xf numFmtId="0" fontId="0" fillId="0" borderId="1" xfId="0" applyBorder="1" applyAlignment="1">
      <alignment horizontal="left"/>
    </xf>
  </cellXfs>
  <cellStyles count="3">
    <cellStyle name="Millares" xfId="1" builtinId="3"/>
    <cellStyle name="Moneda" xfId="2" builtinId="4"/>
    <cellStyle name="Normal" xfId="0" builtinId="0"/>
  </cellStyles>
  <dxfs count="1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center" vertical="bottom" textRotation="0" wrapText="0" indent="0" justifyLastLine="0" shrinkToFit="0" readingOrder="0"/>
    </dxf>
    <dxf>
      <alignment horizontal="general" vertical="center" textRotation="0" wrapText="1" indent="0" justifyLastLine="0" shrinkToFit="0" readingOrder="0"/>
    </dxf>
    <dxf>
      <alignment horizontal="left"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border diagonalUp="0" diagonalDown="0">
        <left style="thin">
          <color indexed="64"/>
        </left>
        <right/>
        <top style="thin">
          <color indexed="64"/>
        </top>
        <bottom style="thin">
          <color indexed="64"/>
        </bottom>
        <vertical/>
        <horizontal/>
      </border>
    </dxf>
    <dxf>
      <fill>
        <patternFill patternType="none">
          <fgColor indexed="64"/>
          <bgColor indexed="65"/>
        </patternFill>
      </fill>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A7B9D9A-88A5-44AC-802A-CAAD236BFD48}" name="Tabla2" displayName="Tabla2" ref="A1:B66" totalsRowShown="0" headerRowDxfId="16" headerRowBorderDxfId="15" tableBorderDxfId="14" totalsRowBorderDxfId="13">
  <autoFilter ref="A1:B66" xr:uid="{DA7B9D9A-88A5-44AC-802A-CAAD236BFD48}"/>
  <tableColumns count="2">
    <tableColumn id="1" xr3:uid="{C52FFFBA-0A3E-417F-AB87-E59567CB54D7}" name="Municipio" dataDxfId="12"/>
    <tableColumn id="2" xr3:uid="{EBA87F11-6FBB-4F69-8D4B-0EABCF0F514A}" name="Dias" dataDxfId="1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3689B5E-A21A-438B-8158-1CF17B13D7E1}" name="Tabla3" displayName="Tabla3" ref="A1:C6" totalsRowShown="0" headerRowDxfId="10">
  <autoFilter ref="A1:C6" xr:uid="{23689B5E-A21A-438B-8158-1CF17B13D7E1}"/>
  <tableColumns count="3">
    <tableColumn id="1" xr3:uid="{29E4BD0E-FD41-4EDE-8CFD-80F64E4908C0}" name="PARAMETRO" dataDxfId="9"/>
    <tableColumn id="2" xr3:uid="{F23D1401-D9CF-4801-A8F9-1E1CDF2B05C7}" name="VALOR" dataDxfId="8"/>
    <tableColumn id="3" xr3:uid="{4504E27A-BAA8-42B9-8B4B-377DB8A103D8}" name="DESCRIPCION" dataDxfId="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F28DC9A-38FC-4EFF-9FE3-EA8398510518}" name="Tabla4" displayName="Tabla4" ref="A1:C4" totalsRowShown="0" headerRowDxfId="6">
  <autoFilter ref="A1:C4" xr:uid="{0F28DC9A-38FC-4EFF-9FE3-EA8398510518}"/>
  <tableColumns count="3">
    <tableColumn id="1" xr3:uid="{305F09D3-70C3-4E78-A983-BA38BA26DC9E}" name="PALABRA_CLAVE"/>
    <tableColumn id="3" xr3:uid="{1492C246-0DC4-4378-AFA1-B226A498D0C1}" name="TIPO"/>
    <tableColumn id="2" xr3:uid="{8A43306C-FD6F-45EA-B9C1-3D23507319AE}" name="DIAS"/>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B13AD-D224-471D-AC74-11A3823ACB28}">
  <dimension ref="A1:B5"/>
  <sheetViews>
    <sheetView workbookViewId="0">
      <selection activeCell="B22" sqref="B22"/>
    </sheetView>
  </sheetViews>
  <sheetFormatPr baseColWidth="10" defaultRowHeight="15" x14ac:dyDescent="0.25"/>
  <cols>
    <col min="2" max="2" width="76.42578125" customWidth="1"/>
  </cols>
  <sheetData>
    <row r="1" spans="1:2" x14ac:dyDescent="0.25">
      <c r="A1" t="s">
        <v>3</v>
      </c>
      <c r="B1" t="s">
        <v>8</v>
      </c>
    </row>
    <row r="2" spans="1:2" ht="45" x14ac:dyDescent="0.25">
      <c r="A2" s="2">
        <v>1</v>
      </c>
      <c r="B2" s="1" t="s">
        <v>4</v>
      </c>
    </row>
    <row r="3" spans="1:2" x14ac:dyDescent="0.25">
      <c r="A3" s="2">
        <v>2</v>
      </c>
      <c r="B3" t="s">
        <v>5</v>
      </c>
    </row>
    <row r="4" spans="1:2" x14ac:dyDescent="0.25">
      <c r="A4" s="2">
        <v>3</v>
      </c>
      <c r="B4" t="s">
        <v>6</v>
      </c>
    </row>
    <row r="5" spans="1:2" x14ac:dyDescent="0.25">
      <c r="A5" s="2">
        <v>4</v>
      </c>
      <c r="B5"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5A6C8-8AB2-430A-814A-CCA4A30EF7E2}">
  <dimension ref="A1:B66"/>
  <sheetViews>
    <sheetView showGridLines="0" tabSelected="1" workbookViewId="0">
      <selection activeCell="A3" sqref="A3"/>
    </sheetView>
  </sheetViews>
  <sheetFormatPr baseColWidth="10" defaultRowHeight="15" x14ac:dyDescent="0.25"/>
  <cols>
    <col min="1" max="1" width="20.5703125" bestFit="1" customWidth="1"/>
  </cols>
  <sheetData>
    <row r="1" spans="1:2" x14ac:dyDescent="0.25">
      <c r="A1" s="26" t="s">
        <v>133</v>
      </c>
      <c r="B1" s="27" t="s">
        <v>140</v>
      </c>
    </row>
    <row r="2" spans="1:2" x14ac:dyDescent="0.25">
      <c r="A2" s="31" t="s">
        <v>122</v>
      </c>
      <c r="B2" s="28">
        <v>3</v>
      </c>
    </row>
    <row r="3" spans="1:2" x14ac:dyDescent="0.25">
      <c r="A3" s="44" t="s">
        <v>229</v>
      </c>
      <c r="B3" s="28">
        <v>3</v>
      </c>
    </row>
    <row r="4" spans="1:2" x14ac:dyDescent="0.25">
      <c r="A4" s="31" t="s">
        <v>134</v>
      </c>
      <c r="B4" s="28">
        <v>3</v>
      </c>
    </row>
    <row r="5" spans="1:2" x14ac:dyDescent="0.25">
      <c r="A5" s="31" t="s">
        <v>135</v>
      </c>
      <c r="B5" s="28">
        <v>3</v>
      </c>
    </row>
    <row r="6" spans="1:2" x14ac:dyDescent="0.25">
      <c r="A6" s="31" t="s">
        <v>136</v>
      </c>
      <c r="B6" s="28">
        <v>3</v>
      </c>
    </row>
    <row r="7" spans="1:2" x14ac:dyDescent="0.25">
      <c r="A7" s="31" t="s">
        <v>137</v>
      </c>
      <c r="B7" s="28">
        <v>3</v>
      </c>
    </row>
    <row r="8" spans="1:2" x14ac:dyDescent="0.25">
      <c r="A8" s="31" t="s">
        <v>138</v>
      </c>
      <c r="B8" s="28">
        <v>3</v>
      </c>
    </row>
    <row r="9" spans="1:2" x14ac:dyDescent="0.25">
      <c r="A9" s="32" t="s">
        <v>139</v>
      </c>
      <c r="B9" s="33">
        <v>3</v>
      </c>
    </row>
    <row r="10" spans="1:2" x14ac:dyDescent="0.25">
      <c r="A10" s="31" t="s">
        <v>153</v>
      </c>
      <c r="B10" s="28">
        <v>7</v>
      </c>
    </row>
    <row r="11" spans="1:2" x14ac:dyDescent="0.25">
      <c r="A11" s="31" t="s">
        <v>154</v>
      </c>
      <c r="B11" s="28">
        <v>7</v>
      </c>
    </row>
    <row r="12" spans="1:2" x14ac:dyDescent="0.25">
      <c r="A12" s="31" t="s">
        <v>155</v>
      </c>
      <c r="B12" s="28">
        <v>7</v>
      </c>
    </row>
    <row r="13" spans="1:2" x14ac:dyDescent="0.25">
      <c r="A13" s="31" t="s">
        <v>156</v>
      </c>
      <c r="B13" s="28">
        <v>7</v>
      </c>
    </row>
    <row r="14" spans="1:2" x14ac:dyDescent="0.25">
      <c r="A14" s="31" t="s">
        <v>157</v>
      </c>
      <c r="B14" s="28">
        <v>7</v>
      </c>
    </row>
    <row r="15" spans="1:2" x14ac:dyDescent="0.25">
      <c r="A15" s="31" t="s">
        <v>158</v>
      </c>
      <c r="B15" s="28">
        <v>7</v>
      </c>
    </row>
    <row r="16" spans="1:2" x14ac:dyDescent="0.25">
      <c r="A16" s="31" t="s">
        <v>159</v>
      </c>
      <c r="B16" s="28">
        <v>7</v>
      </c>
    </row>
    <row r="17" spans="1:2" x14ac:dyDescent="0.25">
      <c r="A17" s="31" t="s">
        <v>160</v>
      </c>
      <c r="B17" s="28">
        <v>7</v>
      </c>
    </row>
    <row r="18" spans="1:2" x14ac:dyDescent="0.25">
      <c r="A18" s="31" t="s">
        <v>161</v>
      </c>
      <c r="B18" s="28">
        <v>7</v>
      </c>
    </row>
    <row r="19" spans="1:2" x14ac:dyDescent="0.25">
      <c r="A19" s="31" t="s">
        <v>162</v>
      </c>
      <c r="B19" s="28">
        <v>7</v>
      </c>
    </row>
    <row r="20" spans="1:2" x14ac:dyDescent="0.25">
      <c r="A20" s="31" t="s">
        <v>163</v>
      </c>
      <c r="B20" s="28">
        <v>7</v>
      </c>
    </row>
    <row r="21" spans="1:2" x14ac:dyDescent="0.25">
      <c r="A21" s="31" t="s">
        <v>164</v>
      </c>
      <c r="B21" s="28">
        <v>7</v>
      </c>
    </row>
    <row r="22" spans="1:2" x14ac:dyDescent="0.25">
      <c r="A22" s="31" t="s">
        <v>165</v>
      </c>
      <c r="B22" s="28">
        <v>7</v>
      </c>
    </row>
    <row r="23" spans="1:2" x14ac:dyDescent="0.25">
      <c r="A23" s="31" t="s">
        <v>166</v>
      </c>
      <c r="B23" s="28">
        <v>7</v>
      </c>
    </row>
    <row r="24" spans="1:2" x14ac:dyDescent="0.25">
      <c r="A24" s="31" t="s">
        <v>167</v>
      </c>
      <c r="B24" s="28">
        <v>7</v>
      </c>
    </row>
    <row r="25" spans="1:2" x14ac:dyDescent="0.25">
      <c r="A25" s="31" t="s">
        <v>168</v>
      </c>
      <c r="B25" s="28">
        <v>7</v>
      </c>
    </row>
    <row r="26" spans="1:2" x14ac:dyDescent="0.25">
      <c r="A26" s="31" t="s">
        <v>169</v>
      </c>
      <c r="B26" s="28">
        <v>7</v>
      </c>
    </row>
    <row r="27" spans="1:2" x14ac:dyDescent="0.25">
      <c r="A27" s="31" t="s">
        <v>170</v>
      </c>
      <c r="B27" s="28">
        <v>7</v>
      </c>
    </row>
    <row r="28" spans="1:2" x14ac:dyDescent="0.25">
      <c r="A28" s="31" t="s">
        <v>171</v>
      </c>
      <c r="B28" s="28">
        <v>7</v>
      </c>
    </row>
    <row r="29" spans="1:2" x14ac:dyDescent="0.25">
      <c r="A29" s="31" t="s">
        <v>172</v>
      </c>
      <c r="B29" s="28">
        <v>7</v>
      </c>
    </row>
    <row r="30" spans="1:2" x14ac:dyDescent="0.25">
      <c r="A30" s="31" t="s">
        <v>173</v>
      </c>
      <c r="B30" s="28">
        <v>7</v>
      </c>
    </row>
    <row r="31" spans="1:2" x14ac:dyDescent="0.25">
      <c r="A31" s="31" t="s">
        <v>174</v>
      </c>
      <c r="B31" s="28">
        <v>7</v>
      </c>
    </row>
    <row r="32" spans="1:2" x14ac:dyDescent="0.25">
      <c r="A32" s="31" t="s">
        <v>175</v>
      </c>
      <c r="B32" s="28">
        <v>7</v>
      </c>
    </row>
    <row r="33" spans="1:2" x14ac:dyDescent="0.25">
      <c r="A33" s="32" t="s">
        <v>196</v>
      </c>
      <c r="B33" s="33">
        <v>7</v>
      </c>
    </row>
    <row r="34" spans="1:2" x14ac:dyDescent="0.25">
      <c r="A34" s="32" t="s">
        <v>197</v>
      </c>
      <c r="B34" s="33">
        <v>7</v>
      </c>
    </row>
    <row r="35" spans="1:2" x14ac:dyDescent="0.25">
      <c r="A35" s="32" t="s">
        <v>198</v>
      </c>
      <c r="B35" s="33">
        <v>7</v>
      </c>
    </row>
    <row r="36" spans="1:2" x14ac:dyDescent="0.25">
      <c r="A36" s="32" t="s">
        <v>199</v>
      </c>
      <c r="B36" s="33">
        <v>7</v>
      </c>
    </row>
    <row r="37" spans="1:2" x14ac:dyDescent="0.25">
      <c r="A37" s="32" t="s">
        <v>200</v>
      </c>
      <c r="B37" s="33">
        <v>7</v>
      </c>
    </row>
    <row r="38" spans="1:2" x14ac:dyDescent="0.25">
      <c r="A38" s="44" t="s">
        <v>201</v>
      </c>
      <c r="B38" s="33">
        <v>7</v>
      </c>
    </row>
    <row r="39" spans="1:2" x14ac:dyDescent="0.25">
      <c r="A39" s="44" t="s">
        <v>202</v>
      </c>
      <c r="B39" s="33">
        <v>7</v>
      </c>
    </row>
    <row r="40" spans="1:2" x14ac:dyDescent="0.25">
      <c r="A40" s="44" t="s">
        <v>203</v>
      </c>
      <c r="B40" s="33">
        <v>7</v>
      </c>
    </row>
    <row r="41" spans="1:2" x14ac:dyDescent="0.25">
      <c r="A41" s="44" t="s">
        <v>204</v>
      </c>
      <c r="B41" s="33">
        <v>7</v>
      </c>
    </row>
    <row r="42" spans="1:2" x14ac:dyDescent="0.25">
      <c r="A42" s="44" t="s">
        <v>205</v>
      </c>
      <c r="B42" s="33">
        <v>7</v>
      </c>
    </row>
    <row r="43" spans="1:2" x14ac:dyDescent="0.25">
      <c r="A43" s="44" t="s">
        <v>206</v>
      </c>
      <c r="B43" s="33">
        <v>7</v>
      </c>
    </row>
    <row r="44" spans="1:2" x14ac:dyDescent="0.25">
      <c r="A44" s="44" t="s">
        <v>207</v>
      </c>
      <c r="B44" s="33">
        <v>7</v>
      </c>
    </row>
    <row r="45" spans="1:2" x14ac:dyDescent="0.25">
      <c r="A45" s="44" t="s">
        <v>208</v>
      </c>
      <c r="B45" s="33">
        <v>7</v>
      </c>
    </row>
    <row r="46" spans="1:2" x14ac:dyDescent="0.25">
      <c r="A46" s="44" t="s">
        <v>209</v>
      </c>
      <c r="B46" s="33">
        <v>7</v>
      </c>
    </row>
    <row r="47" spans="1:2" x14ac:dyDescent="0.25">
      <c r="A47" s="44" t="s">
        <v>210</v>
      </c>
      <c r="B47" s="33">
        <v>7</v>
      </c>
    </row>
    <row r="48" spans="1:2" x14ac:dyDescent="0.25">
      <c r="A48" s="44" t="s">
        <v>211</v>
      </c>
      <c r="B48" s="33">
        <v>7</v>
      </c>
    </row>
    <row r="49" spans="1:2" x14ac:dyDescent="0.25">
      <c r="A49" s="44" t="s">
        <v>212</v>
      </c>
      <c r="B49" s="33">
        <v>7</v>
      </c>
    </row>
    <row r="50" spans="1:2" x14ac:dyDescent="0.25">
      <c r="A50" s="44" t="s">
        <v>213</v>
      </c>
      <c r="B50" s="33">
        <v>7</v>
      </c>
    </row>
    <row r="51" spans="1:2" x14ac:dyDescent="0.25">
      <c r="A51" s="44" t="s">
        <v>214</v>
      </c>
      <c r="B51" s="33">
        <v>7</v>
      </c>
    </row>
    <row r="52" spans="1:2" x14ac:dyDescent="0.25">
      <c r="A52" s="44" t="s">
        <v>215</v>
      </c>
      <c r="B52" s="33">
        <v>7</v>
      </c>
    </row>
    <row r="53" spans="1:2" x14ac:dyDescent="0.25">
      <c r="A53" s="44" t="s">
        <v>216</v>
      </c>
      <c r="B53" s="33">
        <v>7</v>
      </c>
    </row>
    <row r="54" spans="1:2" x14ac:dyDescent="0.25">
      <c r="A54" s="44" t="s">
        <v>217</v>
      </c>
      <c r="B54" s="33">
        <v>7</v>
      </c>
    </row>
    <row r="55" spans="1:2" x14ac:dyDescent="0.25">
      <c r="A55" s="44" t="s">
        <v>218</v>
      </c>
      <c r="B55" s="33">
        <v>7</v>
      </c>
    </row>
    <row r="56" spans="1:2" x14ac:dyDescent="0.25">
      <c r="A56" s="44" t="s">
        <v>219</v>
      </c>
      <c r="B56" s="33">
        <v>7</v>
      </c>
    </row>
    <row r="57" spans="1:2" x14ac:dyDescent="0.25">
      <c r="A57" s="44" t="s">
        <v>220</v>
      </c>
      <c r="B57" s="33">
        <v>7</v>
      </c>
    </row>
    <row r="58" spans="1:2" x14ac:dyDescent="0.25">
      <c r="A58" s="44" t="s">
        <v>221</v>
      </c>
      <c r="B58" s="33">
        <v>7</v>
      </c>
    </row>
    <row r="59" spans="1:2" x14ac:dyDescent="0.25">
      <c r="A59" s="44" t="s">
        <v>222</v>
      </c>
      <c r="B59" s="33">
        <v>7</v>
      </c>
    </row>
    <row r="60" spans="1:2" x14ac:dyDescent="0.25">
      <c r="A60" s="44" t="s">
        <v>223</v>
      </c>
      <c r="B60" s="33">
        <v>7</v>
      </c>
    </row>
    <row r="61" spans="1:2" x14ac:dyDescent="0.25">
      <c r="A61" s="44" t="s">
        <v>224</v>
      </c>
      <c r="B61" s="33">
        <v>7</v>
      </c>
    </row>
    <row r="62" spans="1:2" x14ac:dyDescent="0.25">
      <c r="A62" s="44" t="s">
        <v>225</v>
      </c>
      <c r="B62" s="33">
        <v>7</v>
      </c>
    </row>
    <row r="63" spans="1:2" x14ac:dyDescent="0.25">
      <c r="A63" s="44" t="s">
        <v>226</v>
      </c>
      <c r="B63" s="33">
        <v>7</v>
      </c>
    </row>
    <row r="64" spans="1:2" x14ac:dyDescent="0.25">
      <c r="A64" s="44" t="s">
        <v>227</v>
      </c>
      <c r="B64" s="33">
        <v>7</v>
      </c>
    </row>
    <row r="65" spans="1:2" x14ac:dyDescent="0.25">
      <c r="A65" s="44" t="s">
        <v>228</v>
      </c>
      <c r="B65" s="33">
        <v>7</v>
      </c>
    </row>
    <row r="66" spans="1:2" x14ac:dyDescent="0.25">
      <c r="A66" s="45" t="s">
        <v>230</v>
      </c>
      <c r="B66" s="33">
        <v>7</v>
      </c>
    </row>
  </sheetData>
  <conditionalFormatting sqref="A1:A1048576">
    <cfRule type="duplicateValues" dxfId="5" priority="1"/>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2DA52-4543-4DA0-B58A-301AB3B9677B}">
  <dimension ref="A1:D17"/>
  <sheetViews>
    <sheetView showGridLines="0" workbookViewId="0">
      <selection activeCell="B6" sqref="B6"/>
    </sheetView>
  </sheetViews>
  <sheetFormatPr baseColWidth="10" defaultColWidth="81" defaultRowHeight="15" x14ac:dyDescent="0.25"/>
  <cols>
    <col min="1" max="1" width="33.85546875" bestFit="1" customWidth="1"/>
    <col min="2" max="2" width="11.5703125" bestFit="1" customWidth="1"/>
    <col min="3" max="3" width="67" bestFit="1" customWidth="1"/>
    <col min="4" max="4" width="13.140625" customWidth="1"/>
  </cols>
  <sheetData>
    <row r="1" spans="1:4" x14ac:dyDescent="0.25">
      <c r="A1" s="29" t="s">
        <v>141</v>
      </c>
      <c r="B1" s="29" t="s">
        <v>142</v>
      </c>
      <c r="C1" s="29" t="s">
        <v>23</v>
      </c>
    </row>
    <row r="2" spans="1:4" x14ac:dyDescent="0.25">
      <c r="A2" s="30" t="s">
        <v>178</v>
      </c>
      <c r="B2" s="17">
        <v>2</v>
      </c>
      <c r="C2" s="30" t="s">
        <v>143</v>
      </c>
    </row>
    <row r="3" spans="1:4" x14ac:dyDescent="0.25">
      <c r="A3" s="30" t="s">
        <v>144</v>
      </c>
      <c r="B3" s="17" t="s">
        <v>145</v>
      </c>
      <c r="C3" s="30" t="s">
        <v>146</v>
      </c>
    </row>
    <row r="4" spans="1:4" x14ac:dyDescent="0.25">
      <c r="A4" s="30" t="s">
        <v>147</v>
      </c>
      <c r="B4" s="17" t="s">
        <v>145</v>
      </c>
      <c r="C4" s="30" t="s">
        <v>148</v>
      </c>
    </row>
    <row r="5" spans="1:4" x14ac:dyDescent="0.25">
      <c r="A5" s="30" t="s">
        <v>149</v>
      </c>
      <c r="B5" s="17" t="s">
        <v>145</v>
      </c>
      <c r="C5" s="30" t="s">
        <v>150</v>
      </c>
    </row>
    <row r="6" spans="1:4" x14ac:dyDescent="0.25">
      <c r="A6" s="30" t="s">
        <v>151</v>
      </c>
      <c r="B6" s="17" t="s">
        <v>145</v>
      </c>
      <c r="C6" s="30" t="s">
        <v>152</v>
      </c>
    </row>
    <row r="11" spans="1:4" ht="21" x14ac:dyDescent="0.35">
      <c r="A11" s="47" t="s">
        <v>182</v>
      </c>
      <c r="B11" s="47"/>
      <c r="C11" s="47"/>
      <c r="D11" s="37" t="s">
        <v>192</v>
      </c>
    </row>
    <row r="12" spans="1:4" x14ac:dyDescent="0.25">
      <c r="A12" s="48" t="s">
        <v>181</v>
      </c>
      <c r="B12" s="48"/>
      <c r="C12" s="48"/>
      <c r="D12" s="39" t="s">
        <v>193</v>
      </c>
    </row>
    <row r="13" spans="1:4" x14ac:dyDescent="0.25">
      <c r="A13" s="48" t="s">
        <v>180</v>
      </c>
      <c r="B13" s="48"/>
      <c r="C13" s="48"/>
      <c r="D13" s="40" t="s">
        <v>194</v>
      </c>
    </row>
    <row r="14" spans="1:4" x14ac:dyDescent="0.25">
      <c r="A14" s="48" t="s">
        <v>179</v>
      </c>
      <c r="B14" s="48"/>
      <c r="C14" s="48"/>
      <c r="D14" s="41" t="s">
        <v>195</v>
      </c>
    </row>
    <row r="15" spans="1:4" x14ac:dyDescent="0.25">
      <c r="A15" s="48" t="s">
        <v>190</v>
      </c>
      <c r="B15" s="48"/>
      <c r="C15" s="48"/>
      <c r="D15" s="42" t="s">
        <v>184</v>
      </c>
    </row>
    <row r="16" spans="1:4" x14ac:dyDescent="0.25">
      <c r="A16" s="48" t="s">
        <v>189</v>
      </c>
      <c r="B16" s="48"/>
      <c r="C16" s="48"/>
      <c r="D16" s="43" t="s">
        <v>188</v>
      </c>
    </row>
    <row r="17" spans="1:4" x14ac:dyDescent="0.25">
      <c r="A17" s="46" t="s">
        <v>191</v>
      </c>
      <c r="B17" s="46"/>
      <c r="C17" s="46"/>
      <c r="D17" s="38" t="s">
        <v>187</v>
      </c>
    </row>
  </sheetData>
  <mergeCells count="7">
    <mergeCell ref="A17:C17"/>
    <mergeCell ref="A11:C11"/>
    <mergeCell ref="A12:C12"/>
    <mergeCell ref="A13:C13"/>
    <mergeCell ref="A14:C14"/>
    <mergeCell ref="A16:C16"/>
    <mergeCell ref="A15:C15"/>
  </mergeCells>
  <conditionalFormatting sqref="A16">
    <cfRule type="duplicateValues" dxfId="4" priority="1"/>
  </conditionalFormatting>
  <pageMargins left="0.7" right="0.7" top="0.75" bottom="0.75" header="0.3" footer="0.3"/>
  <pageSetup orientation="portrait" horizontalDpi="0" verticalDpi="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47552-E839-4268-808D-3A4D510046FA}">
  <dimension ref="A1:C2"/>
  <sheetViews>
    <sheetView showGridLines="0" workbookViewId="0">
      <selection activeCell="C2" sqref="C2"/>
    </sheetView>
  </sheetViews>
  <sheetFormatPr baseColWidth="10" defaultRowHeight="15" x14ac:dyDescent="0.25"/>
  <cols>
    <col min="2" max="3" width="14.42578125" customWidth="1"/>
  </cols>
  <sheetData>
    <row r="1" spans="1:3" x14ac:dyDescent="0.25">
      <c r="A1" t="s">
        <v>176</v>
      </c>
      <c r="B1" t="s">
        <v>23</v>
      </c>
      <c r="C1" t="s">
        <v>177</v>
      </c>
    </row>
    <row r="2" spans="1:3" x14ac:dyDescent="0.25">
      <c r="A2" s="3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4B9E6-66B9-4106-A5B3-55D11F1E49FD}">
  <dimension ref="A1:C4"/>
  <sheetViews>
    <sheetView showGridLines="0" workbookViewId="0">
      <selection activeCell="A4" sqref="A4"/>
    </sheetView>
  </sheetViews>
  <sheetFormatPr baseColWidth="10" defaultRowHeight="15" x14ac:dyDescent="0.25"/>
  <cols>
    <col min="1" max="1" width="57.5703125" bestFit="1" customWidth="1"/>
    <col min="2" max="2" width="47" customWidth="1"/>
  </cols>
  <sheetData>
    <row r="1" spans="1:3" x14ac:dyDescent="0.25">
      <c r="A1" s="22" t="s">
        <v>185</v>
      </c>
      <c r="B1" s="22" t="s">
        <v>17</v>
      </c>
      <c r="C1" s="22" t="s">
        <v>186</v>
      </c>
    </row>
    <row r="2" spans="1:3" x14ac:dyDescent="0.25">
      <c r="A2" t="s">
        <v>94</v>
      </c>
      <c r="B2" t="s">
        <v>188</v>
      </c>
      <c r="C2">
        <v>0</v>
      </c>
    </row>
    <row r="3" spans="1:3" x14ac:dyDescent="0.25">
      <c r="A3" t="s">
        <v>97</v>
      </c>
      <c r="B3" t="s">
        <v>184</v>
      </c>
      <c r="C3">
        <v>15</v>
      </c>
    </row>
    <row r="4" spans="1:3" x14ac:dyDescent="0.25">
      <c r="A4" t="s">
        <v>99</v>
      </c>
      <c r="B4" t="s">
        <v>187</v>
      </c>
      <c r="C4">
        <v>4</v>
      </c>
    </row>
  </sheetData>
  <conditionalFormatting sqref="A3">
    <cfRule type="duplicateValues" dxfId="3" priority="2"/>
  </conditionalFormatting>
  <conditionalFormatting sqref="A4">
    <cfRule type="duplicateValues" dxfId="2" priority="1"/>
  </conditionalFormatting>
  <conditionalFormatting sqref="A2:B2">
    <cfRule type="duplicateValues" dxfId="1" priority="3"/>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18A26-F49B-4A7D-B1B2-6AC7D2FF2CCE}">
  <dimension ref="A1:R31"/>
  <sheetViews>
    <sheetView topLeftCell="B1" zoomScale="60" zoomScaleNormal="60" workbookViewId="0">
      <selection activeCell="C4" sqref="C4"/>
    </sheetView>
  </sheetViews>
  <sheetFormatPr baseColWidth="10" defaultRowHeight="15" x14ac:dyDescent="0.25"/>
  <cols>
    <col min="1" max="1" width="10.85546875" style="22"/>
    <col min="2" max="2" width="71.28515625" customWidth="1"/>
    <col min="3" max="3" width="73.5703125" customWidth="1"/>
    <col min="4" max="4" width="44.5703125" customWidth="1"/>
    <col min="5" max="5" width="22.28515625" customWidth="1"/>
    <col min="6" max="6" width="26.5703125" bestFit="1" customWidth="1"/>
    <col min="7" max="7" width="68.42578125" customWidth="1"/>
    <col min="8" max="8" width="14.140625" customWidth="1"/>
    <col min="9" max="9" width="18.140625" style="2" bestFit="1" customWidth="1"/>
    <col min="10" max="11" width="22.42578125" bestFit="1" customWidth="1"/>
    <col min="13" max="13" width="21.28515625" bestFit="1" customWidth="1"/>
    <col min="14" max="14" width="37.28515625" customWidth="1"/>
    <col min="15" max="15" width="15.5703125" bestFit="1" customWidth="1"/>
    <col min="17" max="17" width="14" bestFit="1" customWidth="1"/>
    <col min="18" max="18" width="15.5703125" bestFit="1" customWidth="1"/>
  </cols>
  <sheetData>
    <row r="1" spans="1:18" ht="44.45" customHeight="1" x14ac:dyDescent="0.25">
      <c r="A1" s="15" t="s">
        <v>24</v>
      </c>
      <c r="B1" s="15" t="s">
        <v>9</v>
      </c>
      <c r="C1" s="20" t="s">
        <v>0</v>
      </c>
      <c r="D1" s="21" t="s">
        <v>68</v>
      </c>
      <c r="E1" s="21" t="s">
        <v>69</v>
      </c>
      <c r="F1" s="15" t="s">
        <v>1</v>
      </c>
      <c r="G1" s="20" t="s">
        <v>79</v>
      </c>
      <c r="H1" s="20" t="s">
        <v>15</v>
      </c>
      <c r="I1" s="18"/>
      <c r="K1" s="2"/>
      <c r="M1" s="15" t="s">
        <v>17</v>
      </c>
      <c r="N1" s="15" t="s">
        <v>18</v>
      </c>
      <c r="O1" s="15" t="s">
        <v>64</v>
      </c>
      <c r="Q1" s="2" t="s">
        <v>51</v>
      </c>
      <c r="R1" s="12">
        <v>1300000</v>
      </c>
    </row>
    <row r="2" spans="1:18" ht="99.95" customHeight="1" x14ac:dyDescent="0.25">
      <c r="A2" s="4">
        <v>1</v>
      </c>
      <c r="B2" s="6" t="s">
        <v>66</v>
      </c>
      <c r="C2" s="6" t="s">
        <v>67</v>
      </c>
      <c r="D2" s="4">
        <v>3</v>
      </c>
      <c r="E2" s="4"/>
      <c r="F2" s="4">
        <v>1</v>
      </c>
      <c r="G2" s="6" t="s">
        <v>80</v>
      </c>
      <c r="H2" s="4"/>
      <c r="I2" s="19"/>
      <c r="M2" s="8" t="s">
        <v>19</v>
      </c>
      <c r="N2" s="4" t="s">
        <v>21</v>
      </c>
      <c r="O2" s="9">
        <f>1300000*4</f>
        <v>5200000</v>
      </c>
    </row>
    <row r="3" spans="1:18" ht="120" x14ac:dyDescent="0.25">
      <c r="A3" s="4">
        <v>2</v>
      </c>
      <c r="B3" s="6" t="s">
        <v>66</v>
      </c>
      <c r="C3" s="7" t="s">
        <v>2</v>
      </c>
      <c r="D3" s="4">
        <v>7</v>
      </c>
      <c r="E3" s="4"/>
      <c r="F3" s="4">
        <v>2</v>
      </c>
      <c r="G3" s="6" t="s">
        <v>80</v>
      </c>
      <c r="H3" s="4"/>
      <c r="I3" s="19"/>
      <c r="M3" s="8" t="s">
        <v>19</v>
      </c>
      <c r="N3" s="4" t="s">
        <v>20</v>
      </c>
      <c r="O3" s="9">
        <f>1300000*8</f>
        <v>10400000</v>
      </c>
    </row>
    <row r="4" spans="1:18" ht="98.1" customHeight="1" x14ac:dyDescent="0.25">
      <c r="A4" s="24">
        <v>3</v>
      </c>
      <c r="B4" s="6" t="s">
        <v>10</v>
      </c>
      <c r="C4" s="7" t="s">
        <v>2</v>
      </c>
      <c r="D4" s="4"/>
      <c r="E4" s="4">
        <v>4</v>
      </c>
      <c r="F4" s="4">
        <v>1</v>
      </c>
      <c r="G4" s="11" t="s">
        <v>10</v>
      </c>
      <c r="H4" s="4"/>
      <c r="I4" s="19"/>
      <c r="M4" s="8" t="s">
        <v>62</v>
      </c>
      <c r="N4" s="6" t="s">
        <v>63</v>
      </c>
      <c r="O4" s="9"/>
    </row>
    <row r="5" spans="1:18" ht="96.95" customHeight="1" x14ac:dyDescent="0.25">
      <c r="A5" s="4">
        <v>4</v>
      </c>
      <c r="B5" s="6" t="s">
        <v>70</v>
      </c>
      <c r="C5" s="6" t="s">
        <v>67</v>
      </c>
      <c r="D5" s="4">
        <v>4</v>
      </c>
      <c r="E5" s="4"/>
      <c r="F5" s="4">
        <v>1</v>
      </c>
      <c r="G5" s="6" t="s">
        <v>84</v>
      </c>
      <c r="H5" s="4"/>
      <c r="I5" s="19"/>
      <c r="N5" s="14"/>
    </row>
    <row r="6" spans="1:18" ht="101.45" customHeight="1" x14ac:dyDescent="0.25">
      <c r="A6" s="4">
        <v>5</v>
      </c>
      <c r="B6" s="6" t="s">
        <v>70</v>
      </c>
      <c r="C6" s="7" t="s">
        <v>2</v>
      </c>
      <c r="D6" s="4">
        <v>7</v>
      </c>
      <c r="E6" s="4"/>
      <c r="F6" s="4">
        <v>2</v>
      </c>
      <c r="G6" s="6" t="s">
        <v>84</v>
      </c>
      <c r="H6" s="3"/>
      <c r="I6" s="19"/>
    </row>
    <row r="7" spans="1:18" ht="45" x14ac:dyDescent="0.25">
      <c r="A7" s="4">
        <v>6</v>
      </c>
      <c r="B7" s="6" t="s">
        <v>71</v>
      </c>
      <c r="C7" s="6" t="s">
        <v>72</v>
      </c>
      <c r="D7" s="4"/>
      <c r="E7" s="4">
        <v>15</v>
      </c>
      <c r="F7" s="4"/>
      <c r="G7" s="23" t="s">
        <v>82</v>
      </c>
      <c r="H7" s="3"/>
      <c r="I7" s="19"/>
    </row>
    <row r="8" spans="1:18" ht="30" x14ac:dyDescent="0.25">
      <c r="A8" s="4">
        <v>7</v>
      </c>
      <c r="B8" s="6" t="s">
        <v>11</v>
      </c>
      <c r="C8" s="7" t="s">
        <v>73</v>
      </c>
      <c r="D8" s="4"/>
      <c r="E8" s="4">
        <v>15</v>
      </c>
      <c r="F8" s="4">
        <v>1</v>
      </c>
      <c r="G8" s="23" t="s">
        <v>82</v>
      </c>
      <c r="H8" s="3"/>
      <c r="I8" s="19"/>
    </row>
    <row r="9" spans="1:18" x14ac:dyDescent="0.25">
      <c r="A9" s="4">
        <v>8</v>
      </c>
      <c r="B9" s="6" t="s">
        <v>11</v>
      </c>
      <c r="C9" s="7" t="s">
        <v>12</v>
      </c>
      <c r="D9" s="4"/>
      <c r="E9" s="4">
        <v>23</v>
      </c>
      <c r="F9" s="4">
        <v>2</v>
      </c>
      <c r="G9" s="23" t="s">
        <v>82</v>
      </c>
      <c r="H9" s="3"/>
      <c r="I9" s="19"/>
    </row>
    <row r="10" spans="1:18" ht="54" customHeight="1" x14ac:dyDescent="0.25">
      <c r="A10" s="4">
        <v>9</v>
      </c>
      <c r="B10" s="6" t="s">
        <v>74</v>
      </c>
      <c r="C10" s="6" t="s">
        <v>75</v>
      </c>
      <c r="D10" s="4"/>
      <c r="E10" s="4">
        <v>45</v>
      </c>
      <c r="F10" s="4"/>
      <c r="G10" s="5" t="s">
        <v>83</v>
      </c>
      <c r="H10" s="3"/>
      <c r="I10" s="19"/>
    </row>
    <row r="11" spans="1:18" ht="30" x14ac:dyDescent="0.25">
      <c r="A11" s="24">
        <v>10</v>
      </c>
      <c r="B11" s="6" t="s">
        <v>76</v>
      </c>
      <c r="C11" s="7" t="s">
        <v>73</v>
      </c>
      <c r="D11" s="4"/>
      <c r="E11" s="4" t="s">
        <v>88</v>
      </c>
      <c r="F11" s="4">
        <v>1</v>
      </c>
      <c r="G11" s="3" t="s">
        <v>85</v>
      </c>
      <c r="H11" s="3"/>
      <c r="I11" s="19"/>
    </row>
    <row r="12" spans="1:18" x14ac:dyDescent="0.25">
      <c r="A12" s="24">
        <v>11</v>
      </c>
      <c r="B12" s="6" t="s">
        <v>76</v>
      </c>
      <c r="C12" s="7" t="s">
        <v>77</v>
      </c>
      <c r="D12" s="4"/>
      <c r="E12" s="4" t="s">
        <v>87</v>
      </c>
      <c r="F12" s="4">
        <v>2</v>
      </c>
      <c r="G12" s="3" t="s">
        <v>86</v>
      </c>
      <c r="H12" s="3"/>
      <c r="I12" s="19"/>
    </row>
    <row r="13" spans="1:18" ht="63.95" customHeight="1" x14ac:dyDescent="0.25">
      <c r="A13" s="24">
        <v>12</v>
      </c>
      <c r="B13" s="6" t="s">
        <v>78</v>
      </c>
      <c r="C13" s="7" t="s">
        <v>73</v>
      </c>
      <c r="D13" s="4">
        <v>3</v>
      </c>
      <c r="E13" s="4"/>
      <c r="F13" s="4"/>
      <c r="G13" s="7" t="s">
        <v>81</v>
      </c>
      <c r="H13" s="3"/>
      <c r="I13" s="19"/>
    </row>
    <row r="14" spans="1:18" ht="55.5" customHeight="1" x14ac:dyDescent="0.25">
      <c r="A14" s="24">
        <v>13</v>
      </c>
      <c r="B14" s="6" t="s">
        <v>78</v>
      </c>
      <c r="C14" s="7" t="s">
        <v>77</v>
      </c>
      <c r="D14" s="4">
        <v>7</v>
      </c>
      <c r="E14" s="4"/>
      <c r="F14" s="4"/>
      <c r="G14" s="7" t="s">
        <v>81</v>
      </c>
      <c r="H14" s="3"/>
      <c r="I14" s="19"/>
    </row>
    <row r="15" spans="1:18" x14ac:dyDescent="0.25">
      <c r="A15" s="2"/>
      <c r="B15" s="17"/>
      <c r="C15" s="1"/>
      <c r="D15" s="2"/>
      <c r="E15" s="2"/>
      <c r="F15" s="2"/>
    </row>
    <row r="16" spans="1:18" x14ac:dyDescent="0.25">
      <c r="A16" s="2"/>
      <c r="B16" s="17"/>
      <c r="C16" s="1"/>
      <c r="D16" s="2"/>
      <c r="E16" s="2"/>
      <c r="F16" s="2"/>
    </row>
    <row r="17" spans="1:11" x14ac:dyDescent="0.25">
      <c r="A17" s="2"/>
      <c r="B17" s="17"/>
      <c r="C17" s="1"/>
      <c r="D17" s="2"/>
      <c r="E17" s="2"/>
      <c r="F17" s="2"/>
    </row>
    <row r="19" spans="1:11" ht="45" hidden="1" x14ac:dyDescent="0.25">
      <c r="A19" s="15" t="s">
        <v>24</v>
      </c>
      <c r="B19" s="16" t="s">
        <v>22</v>
      </c>
      <c r="C19" s="16" t="s">
        <v>23</v>
      </c>
      <c r="D19" s="15" t="s">
        <v>13</v>
      </c>
      <c r="E19" s="15" t="s">
        <v>33</v>
      </c>
      <c r="F19" s="15" t="s">
        <v>17</v>
      </c>
      <c r="G19" s="15" t="s">
        <v>14</v>
      </c>
      <c r="H19" s="15" t="s">
        <v>16</v>
      </c>
      <c r="I19" s="16" t="s">
        <v>52</v>
      </c>
      <c r="J19" s="15" t="s">
        <v>49</v>
      </c>
      <c r="K19" s="15" t="s">
        <v>43</v>
      </c>
    </row>
    <row r="20" spans="1:11" ht="30" hidden="1" x14ac:dyDescent="0.25">
      <c r="A20" s="4">
        <v>1</v>
      </c>
      <c r="B20" s="7" t="s">
        <v>65</v>
      </c>
      <c r="C20" s="6" t="s">
        <v>25</v>
      </c>
      <c r="D20" s="3"/>
      <c r="E20" s="3"/>
      <c r="F20" s="4" t="s">
        <v>32</v>
      </c>
      <c r="G20" s="3"/>
      <c r="H20" s="3"/>
      <c r="I20" s="10"/>
      <c r="J20" s="10" t="s">
        <v>50</v>
      </c>
      <c r="K20" s="4" t="s">
        <v>44</v>
      </c>
    </row>
    <row r="21" spans="1:11" ht="45" hidden="1" x14ac:dyDescent="0.25">
      <c r="A21" s="4">
        <v>2</v>
      </c>
      <c r="B21" s="7" t="s">
        <v>26</v>
      </c>
      <c r="C21" s="5" t="s">
        <v>27</v>
      </c>
      <c r="D21" s="3"/>
      <c r="E21" s="3"/>
      <c r="F21" s="4" t="s">
        <v>32</v>
      </c>
      <c r="G21" s="3"/>
      <c r="H21" s="3"/>
      <c r="I21" s="4">
        <v>3</v>
      </c>
      <c r="J21" s="13">
        <f>I21*$R$1</f>
        <v>3900000</v>
      </c>
      <c r="K21" s="4" t="s">
        <v>44</v>
      </c>
    </row>
    <row r="22" spans="1:11" ht="45" hidden="1" x14ac:dyDescent="0.25">
      <c r="A22" s="4">
        <v>3</v>
      </c>
      <c r="B22" s="7" t="s">
        <v>28</v>
      </c>
      <c r="C22" s="5" t="s">
        <v>29</v>
      </c>
      <c r="D22" s="3"/>
      <c r="E22" s="3"/>
      <c r="F22" s="4" t="s">
        <v>32</v>
      </c>
      <c r="G22" s="3"/>
      <c r="H22" s="3"/>
      <c r="I22" s="4"/>
      <c r="J22" s="10" t="s">
        <v>53</v>
      </c>
      <c r="K22" s="4" t="s">
        <v>45</v>
      </c>
    </row>
    <row r="23" spans="1:11" ht="45" hidden="1" x14ac:dyDescent="0.25">
      <c r="A23" s="4">
        <v>4</v>
      </c>
      <c r="B23" s="7" t="s">
        <v>30</v>
      </c>
      <c r="C23" s="5" t="s">
        <v>31</v>
      </c>
      <c r="D23" s="3"/>
      <c r="E23" s="3"/>
      <c r="F23" s="4" t="s">
        <v>32</v>
      </c>
      <c r="G23" s="3"/>
      <c r="H23" s="3"/>
      <c r="I23" s="4"/>
      <c r="J23" s="10" t="s">
        <v>53</v>
      </c>
      <c r="K23" s="4" t="s">
        <v>44</v>
      </c>
    </row>
    <row r="24" spans="1:11" ht="75" hidden="1" x14ac:dyDescent="0.25">
      <c r="A24" s="4">
        <v>5</v>
      </c>
      <c r="B24" s="7" t="s">
        <v>34</v>
      </c>
      <c r="C24" s="5" t="s">
        <v>54</v>
      </c>
      <c r="D24" s="3"/>
      <c r="E24" s="3"/>
      <c r="F24" s="4" t="s">
        <v>42</v>
      </c>
      <c r="G24" s="3"/>
      <c r="H24" s="3"/>
      <c r="I24" s="4">
        <v>1</v>
      </c>
      <c r="J24" s="13">
        <f>I24*$R$1</f>
        <v>1300000</v>
      </c>
      <c r="K24" s="4" t="s">
        <v>44</v>
      </c>
    </row>
    <row r="25" spans="1:11" ht="45" hidden="1" x14ac:dyDescent="0.25">
      <c r="A25" s="4">
        <v>6</v>
      </c>
      <c r="B25" s="7" t="s">
        <v>35</v>
      </c>
      <c r="C25" s="5" t="s">
        <v>55</v>
      </c>
      <c r="D25" s="3"/>
      <c r="E25" s="3"/>
      <c r="F25" s="4" t="s">
        <v>42</v>
      </c>
      <c r="G25" s="3"/>
      <c r="H25" s="3"/>
      <c r="I25" s="4">
        <v>2</v>
      </c>
      <c r="J25" s="13">
        <f t="shared" ref="J25:J31" si="0">I25*$R$1</f>
        <v>2600000</v>
      </c>
      <c r="K25" s="4" t="s">
        <v>46</v>
      </c>
    </row>
    <row r="26" spans="1:11" ht="60" hidden="1" x14ac:dyDescent="0.25">
      <c r="A26" s="4">
        <v>7</v>
      </c>
      <c r="B26" s="7" t="s">
        <v>36</v>
      </c>
      <c r="C26" s="5" t="s">
        <v>56</v>
      </c>
      <c r="D26" s="3"/>
      <c r="E26" s="3"/>
      <c r="F26" s="4" t="s">
        <v>42</v>
      </c>
      <c r="G26" s="3"/>
      <c r="H26" s="3"/>
      <c r="I26" s="4">
        <v>0.5</v>
      </c>
      <c r="J26" s="13">
        <f t="shared" si="0"/>
        <v>650000</v>
      </c>
      <c r="K26" s="4" t="s">
        <v>46</v>
      </c>
    </row>
    <row r="27" spans="1:11" ht="60" hidden="1" x14ac:dyDescent="0.25">
      <c r="A27" s="4">
        <v>8</v>
      </c>
      <c r="B27" s="7" t="s">
        <v>37</v>
      </c>
      <c r="C27" s="5" t="s">
        <v>57</v>
      </c>
      <c r="D27" s="3"/>
      <c r="E27" s="3"/>
      <c r="F27" s="4" t="s">
        <v>42</v>
      </c>
      <c r="G27" s="3"/>
      <c r="H27" s="3"/>
      <c r="I27" s="4">
        <v>2</v>
      </c>
      <c r="J27" s="13">
        <f t="shared" si="0"/>
        <v>2600000</v>
      </c>
      <c r="K27" s="4" t="s">
        <v>46</v>
      </c>
    </row>
    <row r="28" spans="1:11" ht="45" hidden="1" x14ac:dyDescent="0.25">
      <c r="A28" s="4">
        <v>9</v>
      </c>
      <c r="B28" s="7" t="s">
        <v>38</v>
      </c>
      <c r="C28" s="5" t="s">
        <v>58</v>
      </c>
      <c r="D28" s="3"/>
      <c r="E28" s="3"/>
      <c r="F28" s="4" t="s">
        <v>42</v>
      </c>
      <c r="G28" s="3"/>
      <c r="H28" s="3"/>
      <c r="I28" s="4">
        <v>1</v>
      </c>
      <c r="J28" s="13">
        <f t="shared" si="0"/>
        <v>1300000</v>
      </c>
      <c r="K28" s="4" t="s">
        <v>47</v>
      </c>
    </row>
    <row r="29" spans="1:11" ht="105" hidden="1" x14ac:dyDescent="0.25">
      <c r="A29" s="4">
        <v>10</v>
      </c>
      <c r="B29" s="7" t="s">
        <v>39</v>
      </c>
      <c r="C29" s="5" t="s">
        <v>59</v>
      </c>
      <c r="D29" s="3"/>
      <c r="E29" s="3"/>
      <c r="F29" s="4" t="s">
        <v>42</v>
      </c>
      <c r="G29" s="3"/>
      <c r="H29" s="3"/>
      <c r="I29" s="4">
        <v>0.5</v>
      </c>
      <c r="J29" s="13">
        <f t="shared" si="0"/>
        <v>650000</v>
      </c>
      <c r="K29" s="4" t="s">
        <v>48</v>
      </c>
    </row>
    <row r="30" spans="1:11" ht="90" hidden="1" x14ac:dyDescent="0.25">
      <c r="A30" s="4">
        <v>11</v>
      </c>
      <c r="B30" s="7" t="s">
        <v>40</v>
      </c>
      <c r="C30" s="7" t="s">
        <v>60</v>
      </c>
      <c r="D30" s="3"/>
      <c r="E30" s="3"/>
      <c r="F30" s="4" t="s">
        <v>42</v>
      </c>
      <c r="G30" s="3"/>
      <c r="H30" s="3"/>
      <c r="I30" s="4">
        <v>1</v>
      </c>
      <c r="J30" s="13">
        <f t="shared" si="0"/>
        <v>1300000</v>
      </c>
      <c r="K30" s="4" t="s">
        <v>47</v>
      </c>
    </row>
    <row r="31" spans="1:11" ht="75" hidden="1" x14ac:dyDescent="0.25">
      <c r="A31" s="4">
        <v>12</v>
      </c>
      <c r="B31" s="7" t="s">
        <v>41</v>
      </c>
      <c r="C31" s="5" t="s">
        <v>61</v>
      </c>
      <c r="D31" s="3"/>
      <c r="E31" s="3"/>
      <c r="F31" s="4" t="s">
        <v>42</v>
      </c>
      <c r="G31" s="3"/>
      <c r="H31" s="3"/>
      <c r="I31" s="4">
        <v>1</v>
      </c>
      <c r="J31" s="13">
        <f t="shared" si="0"/>
        <v>1300000</v>
      </c>
      <c r="K31" s="4" t="s">
        <v>45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BB65A-5570-426E-93B8-21AC0C258021}">
  <dimension ref="B1:J22"/>
  <sheetViews>
    <sheetView zoomScale="90" zoomScaleNormal="90" workbookViewId="0">
      <selection activeCell="B7" sqref="B7"/>
    </sheetView>
  </sheetViews>
  <sheetFormatPr baseColWidth="10" defaultRowHeight="15" x14ac:dyDescent="0.25"/>
  <cols>
    <col min="2" max="2" width="72.42578125" bestFit="1" customWidth="1"/>
    <col min="5" max="5" width="3.42578125" customWidth="1"/>
    <col min="6" max="6" width="3.85546875" customWidth="1"/>
    <col min="7" max="7" width="4.7109375" customWidth="1"/>
    <col min="9" max="9" width="38.85546875" bestFit="1" customWidth="1"/>
  </cols>
  <sheetData>
    <row r="1" spans="2:10" x14ac:dyDescent="0.25">
      <c r="B1" t="s">
        <v>117</v>
      </c>
      <c r="C1" t="s">
        <v>118</v>
      </c>
      <c r="D1" t="s">
        <v>121</v>
      </c>
      <c r="I1" t="s">
        <v>130</v>
      </c>
      <c r="J1" t="s">
        <v>131</v>
      </c>
    </row>
    <row r="2" spans="2:10" x14ac:dyDescent="0.25">
      <c r="B2" t="s">
        <v>89</v>
      </c>
      <c r="C2" t="s">
        <v>119</v>
      </c>
      <c r="D2">
        <v>3</v>
      </c>
      <c r="I2" s="25" t="s">
        <v>122</v>
      </c>
      <c r="J2">
        <v>3</v>
      </c>
    </row>
    <row r="3" spans="2:10" x14ac:dyDescent="0.25">
      <c r="B3" t="s">
        <v>90</v>
      </c>
      <c r="C3" t="s">
        <v>119</v>
      </c>
      <c r="D3">
        <v>3</v>
      </c>
      <c r="I3" s="25" t="s">
        <v>123</v>
      </c>
      <c r="J3">
        <v>3</v>
      </c>
    </row>
    <row r="4" spans="2:10" x14ac:dyDescent="0.25">
      <c r="B4" t="s">
        <v>92</v>
      </c>
      <c r="C4" t="s">
        <v>111</v>
      </c>
      <c r="D4">
        <v>3</v>
      </c>
      <c r="I4" s="25" t="s">
        <v>124</v>
      </c>
      <c r="J4">
        <v>3</v>
      </c>
    </row>
    <row r="5" spans="2:10" x14ac:dyDescent="0.25">
      <c r="B5" t="s">
        <v>91</v>
      </c>
      <c r="C5" t="s">
        <v>119</v>
      </c>
      <c r="D5">
        <v>7</v>
      </c>
      <c r="I5" s="25" t="s">
        <v>125</v>
      </c>
      <c r="J5">
        <v>3</v>
      </c>
    </row>
    <row r="6" spans="2:10" x14ac:dyDescent="0.25">
      <c r="B6" t="s">
        <v>93</v>
      </c>
      <c r="C6" t="s">
        <v>119</v>
      </c>
      <c r="D6">
        <v>3</v>
      </c>
      <c r="I6" s="25" t="s">
        <v>126</v>
      </c>
      <c r="J6">
        <v>3</v>
      </c>
    </row>
    <row r="7" spans="2:10" x14ac:dyDescent="0.25">
      <c r="B7" t="s">
        <v>94</v>
      </c>
      <c r="C7" t="s">
        <v>112</v>
      </c>
      <c r="D7">
        <v>0</v>
      </c>
      <c r="I7" s="25" t="s">
        <v>127</v>
      </c>
      <c r="J7">
        <v>3</v>
      </c>
    </row>
    <row r="8" spans="2:10" x14ac:dyDescent="0.25">
      <c r="B8" t="s">
        <v>95</v>
      </c>
      <c r="C8" t="s">
        <v>111</v>
      </c>
      <c r="D8">
        <v>3</v>
      </c>
      <c r="I8" s="25" t="s">
        <v>128</v>
      </c>
      <c r="J8">
        <v>3</v>
      </c>
    </row>
    <row r="9" spans="2:10" x14ac:dyDescent="0.25">
      <c r="B9" t="s">
        <v>96</v>
      </c>
      <c r="C9" t="s">
        <v>119</v>
      </c>
      <c r="D9">
        <v>7</v>
      </c>
      <c r="I9" s="25" t="s">
        <v>129</v>
      </c>
      <c r="J9">
        <v>3</v>
      </c>
    </row>
    <row r="10" spans="2:10" x14ac:dyDescent="0.25">
      <c r="B10" t="s">
        <v>97</v>
      </c>
      <c r="C10" t="s">
        <v>113</v>
      </c>
      <c r="D10">
        <v>15</v>
      </c>
    </row>
    <row r="11" spans="2:10" x14ac:dyDescent="0.25">
      <c r="B11" t="s">
        <v>98</v>
      </c>
      <c r="C11" t="s">
        <v>115</v>
      </c>
      <c r="D11">
        <v>3</v>
      </c>
      <c r="I11" s="25" t="s">
        <v>132</v>
      </c>
    </row>
    <row r="12" spans="2:10" x14ac:dyDescent="0.25">
      <c r="B12" t="s">
        <v>99</v>
      </c>
      <c r="C12" t="s">
        <v>114</v>
      </c>
      <c r="D12">
        <v>4</v>
      </c>
    </row>
    <row r="13" spans="2:10" x14ac:dyDescent="0.25">
      <c r="B13" t="s">
        <v>100</v>
      </c>
      <c r="C13" t="s">
        <v>113</v>
      </c>
      <c r="D13">
        <v>15</v>
      </c>
      <c r="I13" s="35" t="s">
        <v>183</v>
      </c>
      <c r="J13" s="36">
        <v>4</v>
      </c>
    </row>
    <row r="14" spans="2:10" x14ac:dyDescent="0.25">
      <c r="B14" t="s">
        <v>101</v>
      </c>
      <c r="C14" t="s">
        <v>115</v>
      </c>
      <c r="D14">
        <v>3</v>
      </c>
      <c r="I14" s="36" t="s">
        <v>184</v>
      </c>
      <c r="J14" s="36">
        <v>15</v>
      </c>
    </row>
    <row r="15" spans="2:10" x14ac:dyDescent="0.25">
      <c r="B15" t="s">
        <v>102</v>
      </c>
      <c r="C15" t="s">
        <v>116</v>
      </c>
      <c r="D15">
        <v>4</v>
      </c>
      <c r="I15" s="36" t="s">
        <v>112</v>
      </c>
      <c r="J15" s="36">
        <v>0</v>
      </c>
    </row>
    <row r="16" spans="2:10" x14ac:dyDescent="0.25">
      <c r="B16" t="s">
        <v>103</v>
      </c>
      <c r="C16" t="s">
        <v>114</v>
      </c>
      <c r="D16">
        <v>4</v>
      </c>
    </row>
    <row r="17" spans="2:4" x14ac:dyDescent="0.25">
      <c r="B17" t="s">
        <v>104</v>
      </c>
      <c r="C17" t="s">
        <v>120</v>
      </c>
      <c r="D17">
        <v>3</v>
      </c>
    </row>
    <row r="18" spans="2:4" x14ac:dyDescent="0.25">
      <c r="B18" t="s">
        <v>105</v>
      </c>
      <c r="C18" t="s">
        <v>110</v>
      </c>
      <c r="D18">
        <v>3</v>
      </c>
    </row>
    <row r="19" spans="2:4" x14ac:dyDescent="0.25">
      <c r="B19" t="s">
        <v>106</v>
      </c>
      <c r="C19" t="s">
        <v>110</v>
      </c>
      <c r="D19">
        <v>3</v>
      </c>
    </row>
    <row r="20" spans="2:4" x14ac:dyDescent="0.25">
      <c r="B20" t="s">
        <v>107</v>
      </c>
      <c r="C20" t="s">
        <v>119</v>
      </c>
      <c r="D20">
        <v>3</v>
      </c>
    </row>
    <row r="21" spans="2:4" x14ac:dyDescent="0.25">
      <c r="B21" t="s">
        <v>108</v>
      </c>
      <c r="C21" t="s">
        <v>110</v>
      </c>
      <c r="D21">
        <v>3</v>
      </c>
    </row>
    <row r="22" spans="2:4" x14ac:dyDescent="0.25">
      <c r="B22" t="s">
        <v>109</v>
      </c>
      <c r="C22" t="s">
        <v>115</v>
      </c>
      <c r="D22">
        <v>3</v>
      </c>
    </row>
  </sheetData>
  <autoFilter ref="B1:C22" xr:uid="{E49BB65A-5570-426E-93B8-21AC0C258021}"/>
  <conditionalFormatting sqref="B1:B1048576">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Hoja2</vt:lpstr>
      <vt:lpstr>REGLAS_DE_NEGOCIO</vt:lpstr>
      <vt:lpstr>PARAMETROS</vt:lpstr>
      <vt:lpstr>FESTIVOS_ADICIONALES</vt:lpstr>
      <vt:lpstr>REGLAS_PRIORIDAD</vt:lpstr>
      <vt:lpstr>EJECUCION </vt:lpstr>
      <vt:lpstr>MUNICIPIOS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Jhon Jairo Arias</dc:creator>
  <cp:lastModifiedBy>Hector Alejandro Gaviria</cp:lastModifiedBy>
  <dcterms:created xsi:type="dcterms:W3CDTF">2024-10-11T20:10:09Z</dcterms:created>
  <dcterms:modified xsi:type="dcterms:W3CDTF">2026-08-03T19:34:19Z</dcterms:modified>
</cp:coreProperties>
</file>